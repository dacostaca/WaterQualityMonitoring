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c\Documents\KiCad\9.0\projects\EXCELS\"/>
    </mc:Choice>
  </mc:AlternateContent>
  <xr:revisionPtr revIDLastSave="0" documentId="13_ncr:1_{BA6FE05F-224A-470A-A3D6-116863244366}" xr6:coauthVersionLast="47" xr6:coauthVersionMax="47" xr10:uidLastSave="{00000000-0000-0000-0000-000000000000}"/>
  <bookViews>
    <workbookView minimized="1" xWindow="3285" yWindow="3285" windowWidth="15375" windowHeight="7785" xr2:uid="{6FAA5693-BE85-4C0A-8D31-CC202F8BF1C9}"/>
  </bookViews>
  <sheets>
    <sheet name="BOM_V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9" i="1" l="1"/>
  <c r="M16" i="1"/>
  <c r="A17" i="1"/>
  <c r="A18" i="1" s="1"/>
  <c r="A16" i="1"/>
  <c r="M17" i="1"/>
  <c r="A11" i="1"/>
  <c r="A12" i="1" s="1"/>
  <c r="A13" i="1" s="1"/>
  <c r="A14" i="1" s="1"/>
  <c r="A15" i="1" s="1"/>
  <c r="M12" i="1"/>
  <c r="M14" i="1"/>
  <c r="M13" i="1"/>
  <c r="M11" i="1"/>
  <c r="M10" i="1"/>
  <c r="M8" i="1"/>
  <c r="M9" i="1"/>
  <c r="M7" i="1"/>
  <c r="M6" i="1"/>
  <c r="M5" i="1"/>
  <c r="M4" i="1"/>
  <c r="M15" i="1"/>
  <c r="M18" i="1"/>
  <c r="M3" i="1"/>
</calcChain>
</file>

<file path=xl/sharedStrings.xml><?xml version="1.0" encoding="utf-8"?>
<sst xmlns="http://schemas.openxmlformats.org/spreadsheetml/2006/main" count="155" uniqueCount="112">
  <si>
    <t>Index</t>
  </si>
  <si>
    <t>Manufacturer Part Number</t>
  </si>
  <si>
    <t>Manufacturer Name</t>
  </si>
  <si>
    <t>Description</t>
  </si>
  <si>
    <t>Datasheet</t>
  </si>
  <si>
    <t>Reference Designator</t>
  </si>
  <si>
    <t>YAGEO</t>
  </si>
  <si>
    <t>Cut Tape (CT)</t>
  </si>
  <si>
    <t>SMD/SMT</t>
  </si>
  <si>
    <t>https://www.sameskydevices.com/product/resource/uj20-c-h-g-smt-1-p16-tr.pdf</t>
  </si>
  <si>
    <t>AMS1117CD-3.3</t>
  </si>
  <si>
    <t>UMW(Youtai Semiconductor Co., Ltd.)</t>
  </si>
  <si>
    <t>1A Fixed 3.3V Positive electrode 18V TO-252-2 Voltage Regulators - Linear, Low Drop Out (LDO) Regulators ROHS</t>
  </si>
  <si>
    <t>TO-252-2</t>
  </si>
  <si>
    <t>https://mm.digikey.com/Volume0/opasdata/d220001/medias/docus/5011/AMS1117.pdf</t>
  </si>
  <si>
    <t>U4</t>
  </si>
  <si>
    <t>BOM</t>
  </si>
  <si>
    <t>Unit Price</t>
  </si>
  <si>
    <t xml:space="preserve">Extended Price </t>
  </si>
  <si>
    <t xml:space="preserve">Pack Type </t>
  </si>
  <si>
    <t xml:space="preserve">Digi-Key Part Number </t>
  </si>
  <si>
    <t xml:space="preserve">Pack Quantity </t>
  </si>
  <si>
    <t>Package</t>
  </si>
  <si>
    <t>UJ20-C-H-G-SMT-1-P16-TR</t>
  </si>
  <si>
    <t>Same Sky (Formerly CUI Devices)</t>
  </si>
  <si>
    <t>2223-UJ20-C-H-G-SMT-1-P16-TRCT-ND</t>
  </si>
  <si>
    <t>4518-AMS1117CD-3.3CT-ND</t>
  </si>
  <si>
    <t>USB JACK, TYPE C,2.0, HORIZONTAL</t>
  </si>
  <si>
    <t>CC0603KPX7R7BB104</t>
  </si>
  <si>
    <t>311-1335-1-ND</t>
  </si>
  <si>
    <t>https://www.yageo.com/upload/media/product/productsearch/datasheet/mlcc/UPY-GPHC_X7R_6.3V-to-250V_24.pdf</t>
  </si>
  <si>
    <t>0.1 µF ±10% 16V Ceramic Capacitor X7R 0603 (1608 Metric)</t>
  </si>
  <si>
    <t xml:space="preserve">C3, Cc4, Cc8 </t>
  </si>
  <si>
    <t>J2, Jc1</t>
  </si>
  <si>
    <t>Cc9</t>
  </si>
  <si>
    <t>Würth Elektronik</t>
  </si>
  <si>
    <t>732-7428-1-ND</t>
  </si>
  <si>
    <t>0603 (1608 Metric)</t>
  </si>
  <si>
    <t>Munting Style</t>
  </si>
  <si>
    <t>Surface Mount, Right Angle; Through Hole</t>
  </si>
  <si>
    <t>Rc1, Rc2</t>
  </si>
  <si>
    <t>https://www.yageo.com/upload/media/product/products/datasheet/rchip/PYu-RC_Group_51_RoHS_L_12.pdf</t>
  </si>
  <si>
    <t>Rc15</t>
  </si>
  <si>
    <t>Rc14</t>
  </si>
  <si>
    <t>Rc12</t>
  </si>
  <si>
    <t>https://www.yageo.com/upload/media/product/app/datasheet/rchip/pyu-af_51_rohs_l.pdf</t>
  </si>
  <si>
    <t>Rc3</t>
  </si>
  <si>
    <t>Rc11, Rc18</t>
  </si>
  <si>
    <t>ERT-J1VG103FA</t>
  </si>
  <si>
    <t>Panasonic Electronic Components</t>
  </si>
  <si>
    <t>P12011CT-ND</t>
  </si>
  <si>
    <t>THERMISTOR NTC 10KOHM 3380K 0603</t>
  </si>
  <si>
    <t>https://industrial.panasonic.com/ww/products/pt/ntc-thermistor/models/ERTJ1VG103FA</t>
  </si>
  <si>
    <t>LED2,LED5,LED1,LED4,LED3</t>
  </si>
  <si>
    <t>LTST-C191KGKT</t>
  </si>
  <si>
    <t>Lite-On Inc.</t>
  </si>
  <si>
    <t>Green 571nm LED Indication - Discrete 2V 0603 (1608 Metric)</t>
  </si>
  <si>
    <t>160-1446-1-ND</t>
  </si>
  <si>
    <t>https://optoelectronics.liteon.com/upload/download/DS22-2000-228/LTST-C191KGKT.PDF</t>
  </si>
  <si>
    <t>33 pF ±5% 10V Ceramic Capacitor C0G, NP0 0603 (1608 Metric)</t>
  </si>
  <si>
    <t>https://www.we-online.com/components/products/datasheet/885012006005.pdf</t>
  </si>
  <si>
    <t>RC0603JR-07100RL</t>
  </si>
  <si>
    <t>311-100GRCT-ND</t>
  </si>
  <si>
    <t>100 Ohms ±5% 0.1W, 1/10W Chip Resistor 0603 (1608 Metric) Moisture Resistant Thick Film</t>
  </si>
  <si>
    <t>RC0603FR-1340K2L</t>
  </si>
  <si>
    <t>40.2 kOhms ±1% 0.1W, 1/10W Chip Resistor 0603 (1608 Metric) Thick Film</t>
  </si>
  <si>
    <t>13-RC0603FR-1340K2LCT-ND</t>
  </si>
  <si>
    <t>RC0603FR-0727K4L</t>
  </si>
  <si>
    <t>311-27.4KHRCT-ND</t>
  </si>
  <si>
    <t>27.4 kOhms ±1% 0.1W, 1/10W Chip Resistor 0603 (1608 Metric) Moisture Resistant Thick Film</t>
  </si>
  <si>
    <t>RC0603FR-0771K5L</t>
  </si>
  <si>
    <t>311-71.5KHRCT-ND</t>
  </si>
  <si>
    <t>71.5 kOhms ±1% 0.1W, 1/10W Chip Resistor 0603 (1608 Metric) Moisture Resistant Thick Film</t>
  </si>
  <si>
    <t>RC0603FR-0786K6L</t>
  </si>
  <si>
    <t>311-86.6KHRCT-ND</t>
  </si>
  <si>
    <t>86.6 kOhms ±1% 0.1W, 1/10W Chip Resistor 0603 (1608 Metric) Moisture Resistant Thick Film</t>
  </si>
  <si>
    <t>MP2639AGR-Z</t>
  </si>
  <si>
    <t>Uc1</t>
  </si>
  <si>
    <t>Monolithic Power Systems Inc.</t>
  </si>
  <si>
    <t>1589-1618-1-ND</t>
  </si>
  <si>
    <t>26-QFN (4x4)</t>
  </si>
  <si>
    <t>https://www.monolithicpower.com/en/documentview/productdocument/index/version/2/document_type/Datasheet/lang/en/sku/MP2639A/document_id/1451</t>
  </si>
  <si>
    <t>Charger IC Lithium Ion/Polymer 26-QFN (4x4)</t>
  </si>
  <si>
    <t>PJA3404-AU_R1_000A1</t>
  </si>
  <si>
    <t>Qc1</t>
  </si>
  <si>
    <t>3757-PJA3404-AU_R1_000A1CT-ND</t>
  </si>
  <si>
    <t>https://www.panjit.com.tw/upload/datasheet/PJA3404-AU.pdf</t>
  </si>
  <si>
    <t>N-Channel 30 V 5.6A (Ta) 1.25W (Ta) Surface Mount SOT-23</t>
  </si>
  <si>
    <t>Panjit International Inc.</t>
  </si>
  <si>
    <t>SOT-23</t>
  </si>
  <si>
    <t>Lc1</t>
  </si>
  <si>
    <t>0630CDMCCDS-2R2MC</t>
  </si>
  <si>
    <t>2.2 µH Shielded Molded Inductor 9.3 A 15mOhm Max Nonstandard</t>
  </si>
  <si>
    <t>https://products.sumida.com/products/pdf/0630CDMCDDS.pdf</t>
  </si>
  <si>
    <t>308-2464-1-ND</t>
  </si>
  <si>
    <t>Sumida America Components Inc.</t>
  </si>
  <si>
    <t>Ur1</t>
  </si>
  <si>
    <t>MAX31328NELB+</t>
  </si>
  <si>
    <t>505-MAX31328NELB+-ND</t>
  </si>
  <si>
    <t>Analog Devices Inc./Maxim Integrated</t>
  </si>
  <si>
    <t>10-LGA (5x5)</t>
  </si>
  <si>
    <t xml:space="preserve">  </t>
  </si>
  <si>
    <t>https://www.analog.com/media/en/technical-documentation/data-sheets/max31328.pdf</t>
  </si>
  <si>
    <t>Real Time Clock (RTC) IC Clock/Calendar I2C 10-LLGA</t>
  </si>
  <si>
    <t>Jr1</t>
  </si>
  <si>
    <t>Battery Holder (Open) Coin, 20.0mm 1 Cell PC Pin</t>
  </si>
  <si>
    <t>2057-BH-80B-1-ND</t>
  </si>
  <si>
    <t>Adam Tech</t>
  </si>
  <si>
    <t>BH-80B-1</t>
  </si>
  <si>
    <t>Through Hole</t>
  </si>
  <si>
    <t>Bulk</t>
  </si>
  <si>
    <t>https://app.adam-tech.com/products/download/data_sheet/196963/bh-80b-1-data-sheet.pdf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</si>
</sst>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.00000_-;\-&quot;$&quot;\ * #,##0.00000_-;_-&quot;$&quot;\ * &quot;-&quot;??_-;_-@_-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ptos Narrow"/>
      <family val="2"/>
      <scheme val="minor"/>
    </font>
    <font>
      <u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5"/>
      </left>
      <right style="hair">
        <color theme="5"/>
      </right>
      <top style="hair">
        <color theme="5"/>
      </top>
      <bottom style="hair">
        <color theme="5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9" fillId="0" borderId="10" xfId="0" applyFont="1" applyBorder="1"/>
    <xf numFmtId="0" fontId="19" fillId="0" borderId="0" xfId="0" applyFont="1"/>
    <xf numFmtId="0" fontId="20" fillId="0" borderId="0" xfId="0" applyFont="1"/>
    <xf numFmtId="0" fontId="19" fillId="0" borderId="10" xfId="0" applyFont="1" applyBorder="1" applyAlignment="1">
      <alignment horizontal="center"/>
    </xf>
    <xf numFmtId="44" fontId="19" fillId="0" borderId="10" xfId="0" applyNumberFormat="1" applyFont="1" applyBorder="1"/>
    <xf numFmtId="164" fontId="19" fillId="0" borderId="10" xfId="42" applyNumberFormat="1" applyFont="1" applyBorder="1"/>
    <xf numFmtId="44" fontId="19" fillId="0" borderId="0" xfId="0" applyNumberFormat="1" applyFont="1"/>
    <xf numFmtId="12" fontId="19" fillId="0" borderId="10" xfId="0" applyNumberFormat="1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6" fillId="0" borderId="10" xfId="0" applyFont="1" applyBorder="1" applyAlignment="1">
      <alignment horizontal="center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" xfId="42" builtinId="4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7CB1E-75EC-4B14-AD58-4921185805C4}">
  <dimension ref="A1:M27"/>
  <sheetViews>
    <sheetView tabSelected="1" workbookViewId="0">
      <selection activeCell="J3" sqref="J3:J18"/>
    </sheetView>
  </sheetViews>
  <sheetFormatPr baseColWidth="10" defaultRowHeight="15" x14ac:dyDescent="0.25"/>
  <cols>
    <col min="3" max="3" width="22" customWidth="1"/>
    <col min="4" max="4" width="13.5703125" customWidth="1"/>
    <col min="5" max="5" width="9.140625" customWidth="1"/>
    <col min="6" max="6" width="13" customWidth="1"/>
    <col min="7" max="7" width="20.7109375" customWidth="1"/>
    <col min="8" max="9" width="16.5703125" customWidth="1"/>
  </cols>
  <sheetData>
    <row r="1" spans="1:13" x14ac:dyDescent="0.25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7.5" customHeight="1" x14ac:dyDescent="0.25">
      <c r="A2" s="1" t="s">
        <v>0</v>
      </c>
      <c r="B2" s="1" t="s">
        <v>5</v>
      </c>
      <c r="C2" s="1" t="s">
        <v>1</v>
      </c>
      <c r="D2" s="1" t="s">
        <v>2</v>
      </c>
      <c r="E2" s="1" t="s">
        <v>21</v>
      </c>
      <c r="F2" s="1" t="s">
        <v>19</v>
      </c>
      <c r="G2" s="1" t="s">
        <v>20</v>
      </c>
      <c r="H2" s="2" t="s">
        <v>22</v>
      </c>
      <c r="I2" s="2" t="s">
        <v>38</v>
      </c>
      <c r="J2" s="1" t="s">
        <v>3</v>
      </c>
      <c r="K2" s="1" t="s">
        <v>4</v>
      </c>
      <c r="L2" s="1" t="s">
        <v>17</v>
      </c>
      <c r="M2" s="1" t="s">
        <v>18</v>
      </c>
    </row>
    <row r="3" spans="1:13" s="4" customFormat="1" ht="12" x14ac:dyDescent="0.2">
      <c r="A3" s="6">
        <v>1</v>
      </c>
      <c r="B3" s="6" t="s">
        <v>32</v>
      </c>
      <c r="C3" s="3" t="s">
        <v>28</v>
      </c>
      <c r="D3" s="3" t="s">
        <v>6</v>
      </c>
      <c r="E3" s="6">
        <v>10</v>
      </c>
      <c r="F3" s="3" t="s">
        <v>7</v>
      </c>
      <c r="G3" s="3" t="s">
        <v>29</v>
      </c>
      <c r="H3" s="3" t="s">
        <v>37</v>
      </c>
      <c r="I3" s="6" t="s">
        <v>8</v>
      </c>
      <c r="J3" s="3" t="s">
        <v>31</v>
      </c>
      <c r="K3" s="3" t="s">
        <v>30</v>
      </c>
      <c r="L3" s="8">
        <v>1.4E-2</v>
      </c>
      <c r="M3" s="7">
        <f>L3*E3</f>
        <v>0.14000000000000001</v>
      </c>
    </row>
    <row r="4" spans="1:13" s="4" customFormat="1" ht="12" x14ac:dyDescent="0.2">
      <c r="A4" s="6">
        <v>2</v>
      </c>
      <c r="B4" s="6" t="s">
        <v>34</v>
      </c>
      <c r="C4" s="10">
        <v>885012006005</v>
      </c>
      <c r="D4" s="3" t="s">
        <v>35</v>
      </c>
      <c r="E4" s="6">
        <v>10</v>
      </c>
      <c r="F4" s="3" t="s">
        <v>7</v>
      </c>
      <c r="G4" s="3" t="s">
        <v>36</v>
      </c>
      <c r="H4" s="3" t="s">
        <v>37</v>
      </c>
      <c r="I4" s="6" t="s">
        <v>8</v>
      </c>
      <c r="J4" s="3" t="s">
        <v>59</v>
      </c>
      <c r="K4" s="3" t="s">
        <v>60</v>
      </c>
      <c r="L4" s="8">
        <v>2.7E-2</v>
      </c>
      <c r="M4" s="7">
        <f>L4*E4</f>
        <v>0.27</v>
      </c>
    </row>
    <row r="5" spans="1:13" s="4" customFormat="1" ht="12" x14ac:dyDescent="0.2">
      <c r="A5" s="6">
        <v>3</v>
      </c>
      <c r="B5" s="6" t="s">
        <v>40</v>
      </c>
      <c r="C5" s="10" t="s">
        <v>67</v>
      </c>
      <c r="D5" s="3" t="s">
        <v>6</v>
      </c>
      <c r="E5" s="6">
        <v>10</v>
      </c>
      <c r="F5" s="3" t="s">
        <v>7</v>
      </c>
      <c r="G5" s="3" t="s">
        <v>68</v>
      </c>
      <c r="H5" s="3" t="s">
        <v>37</v>
      </c>
      <c r="I5" s="6" t="s">
        <v>8</v>
      </c>
      <c r="J5" s="3" t="s">
        <v>69</v>
      </c>
      <c r="K5" s="3" t="s">
        <v>41</v>
      </c>
      <c r="L5" s="8">
        <v>7.0000000000000001E-3</v>
      </c>
      <c r="M5" s="7">
        <f>L5*E5</f>
        <v>7.0000000000000007E-2</v>
      </c>
    </row>
    <row r="6" spans="1:13" s="4" customFormat="1" ht="12" x14ac:dyDescent="0.2">
      <c r="A6" s="6">
        <v>4</v>
      </c>
      <c r="B6" s="6" t="s">
        <v>42</v>
      </c>
      <c r="C6" s="10" t="s">
        <v>70</v>
      </c>
      <c r="D6" s="3" t="s">
        <v>6</v>
      </c>
      <c r="E6" s="6">
        <v>10</v>
      </c>
      <c r="F6" s="3" t="s">
        <v>7</v>
      </c>
      <c r="G6" s="3" t="s">
        <v>71</v>
      </c>
      <c r="H6" s="3" t="s">
        <v>37</v>
      </c>
      <c r="I6" s="6" t="s">
        <v>8</v>
      </c>
      <c r="J6" s="3" t="s">
        <v>72</v>
      </c>
      <c r="K6" s="3" t="s">
        <v>45</v>
      </c>
      <c r="L6" s="8">
        <v>0.01</v>
      </c>
      <c r="M6" s="7">
        <f>L6*E6</f>
        <v>0.1</v>
      </c>
    </row>
    <row r="7" spans="1:13" s="4" customFormat="1" ht="12" x14ac:dyDescent="0.2">
      <c r="A7" s="6">
        <v>5</v>
      </c>
      <c r="B7" s="6" t="s">
        <v>43</v>
      </c>
      <c r="C7" s="10" t="s">
        <v>73</v>
      </c>
      <c r="D7" s="3" t="s">
        <v>6</v>
      </c>
      <c r="E7" s="6">
        <v>10</v>
      </c>
      <c r="F7" s="3" t="s">
        <v>7</v>
      </c>
      <c r="G7" s="3" t="s">
        <v>74</v>
      </c>
      <c r="H7" s="3" t="s">
        <v>37</v>
      </c>
      <c r="I7" s="6" t="s">
        <v>8</v>
      </c>
      <c r="J7" s="3" t="s">
        <v>75</v>
      </c>
      <c r="K7" s="3" t="s">
        <v>45</v>
      </c>
      <c r="L7" s="8">
        <v>8.9999999999999993E-3</v>
      </c>
      <c r="M7" s="7">
        <f>L7*E8</f>
        <v>0.09</v>
      </c>
    </row>
    <row r="8" spans="1:13" s="4" customFormat="1" ht="12" x14ac:dyDescent="0.2">
      <c r="A8" s="6">
        <v>6</v>
      </c>
      <c r="B8" s="6" t="s">
        <v>46</v>
      </c>
      <c r="C8" s="10" t="s">
        <v>61</v>
      </c>
      <c r="D8" s="3" t="s">
        <v>6</v>
      </c>
      <c r="E8" s="6">
        <v>10</v>
      </c>
      <c r="F8" s="3" t="s">
        <v>7</v>
      </c>
      <c r="G8" s="3" t="s">
        <v>62</v>
      </c>
      <c r="H8" s="3" t="s">
        <v>37</v>
      </c>
      <c r="I8" s="6" t="s">
        <v>8</v>
      </c>
      <c r="J8" s="3" t="s">
        <v>63</v>
      </c>
      <c r="K8" s="3" t="s">
        <v>41</v>
      </c>
      <c r="L8" s="8">
        <v>8.0000000000000002E-3</v>
      </c>
      <c r="M8" s="7">
        <f>L8*E9</f>
        <v>0.08</v>
      </c>
    </row>
    <row r="9" spans="1:13" s="4" customFormat="1" ht="12" x14ac:dyDescent="0.2">
      <c r="A9" s="6">
        <v>7</v>
      </c>
      <c r="B9" s="6" t="s">
        <v>44</v>
      </c>
      <c r="C9" s="10" t="s">
        <v>64</v>
      </c>
      <c r="D9" s="3" t="s">
        <v>6</v>
      </c>
      <c r="E9" s="6">
        <v>10</v>
      </c>
      <c r="F9" s="3" t="s">
        <v>7</v>
      </c>
      <c r="G9" s="3" t="s">
        <v>66</v>
      </c>
      <c r="H9" s="3" t="s">
        <v>37</v>
      </c>
      <c r="I9" s="6" t="s">
        <v>8</v>
      </c>
      <c r="J9" s="3" t="s">
        <v>65</v>
      </c>
      <c r="K9" s="3" t="s">
        <v>41</v>
      </c>
      <c r="L9" s="8">
        <v>8.9999999999999993E-3</v>
      </c>
      <c r="M9" s="7">
        <f t="shared" ref="M9:M18" si="0">L9*E9</f>
        <v>0.09</v>
      </c>
    </row>
    <row r="10" spans="1:13" s="4" customFormat="1" ht="12" x14ac:dyDescent="0.2">
      <c r="A10" s="6">
        <v>8</v>
      </c>
      <c r="B10" s="6" t="s">
        <v>47</v>
      </c>
      <c r="C10" s="10" t="s">
        <v>48</v>
      </c>
      <c r="D10" s="3" t="s">
        <v>49</v>
      </c>
      <c r="E10" s="6">
        <v>5</v>
      </c>
      <c r="F10" s="3" t="s">
        <v>7</v>
      </c>
      <c r="G10" s="3" t="s">
        <v>50</v>
      </c>
      <c r="H10" s="3" t="s">
        <v>37</v>
      </c>
      <c r="I10" s="6" t="s">
        <v>8</v>
      </c>
      <c r="J10" s="3" t="s">
        <v>51</v>
      </c>
      <c r="K10" s="3" t="s">
        <v>52</v>
      </c>
      <c r="L10" s="8">
        <v>0.14599999999999999</v>
      </c>
      <c r="M10" s="7">
        <f t="shared" si="0"/>
        <v>0.73</v>
      </c>
    </row>
    <row r="11" spans="1:13" s="4" customFormat="1" ht="12" x14ac:dyDescent="0.2">
      <c r="A11" s="6">
        <f>SUM(A10+1)</f>
        <v>9</v>
      </c>
      <c r="B11" s="6" t="s">
        <v>53</v>
      </c>
      <c r="C11" s="10" t="s">
        <v>54</v>
      </c>
      <c r="D11" s="3" t="s">
        <v>55</v>
      </c>
      <c r="E11" s="6">
        <v>10</v>
      </c>
      <c r="F11" s="3" t="s">
        <v>7</v>
      </c>
      <c r="G11" s="3" t="s">
        <v>57</v>
      </c>
      <c r="H11" s="3" t="s">
        <v>37</v>
      </c>
      <c r="I11" s="6" t="s">
        <v>8</v>
      </c>
      <c r="J11" s="3" t="s">
        <v>56</v>
      </c>
      <c r="K11" s="3" t="s">
        <v>58</v>
      </c>
      <c r="L11" s="8">
        <v>0.1</v>
      </c>
      <c r="M11" s="7">
        <f t="shared" si="0"/>
        <v>1</v>
      </c>
    </row>
    <row r="12" spans="1:13" s="4" customFormat="1" ht="12" x14ac:dyDescent="0.2">
      <c r="A12" s="6">
        <f t="shared" ref="A12:A18" si="1">SUM(A11+1)</f>
        <v>10</v>
      </c>
      <c r="B12" s="6" t="s">
        <v>90</v>
      </c>
      <c r="C12" s="10" t="s">
        <v>91</v>
      </c>
      <c r="D12" s="3" t="s">
        <v>95</v>
      </c>
      <c r="E12" s="6">
        <v>2</v>
      </c>
      <c r="F12" s="3" t="s">
        <v>7</v>
      </c>
      <c r="G12" s="3" t="s">
        <v>94</v>
      </c>
      <c r="H12" s="3"/>
      <c r="I12" s="6" t="s">
        <v>8</v>
      </c>
      <c r="J12" s="3" t="s">
        <v>92</v>
      </c>
      <c r="K12" s="3" t="s">
        <v>93</v>
      </c>
      <c r="L12" s="8">
        <v>0.7</v>
      </c>
      <c r="M12" s="7">
        <f t="shared" si="0"/>
        <v>1.4</v>
      </c>
    </row>
    <row r="13" spans="1:13" s="4" customFormat="1" ht="12" x14ac:dyDescent="0.2">
      <c r="A13" s="6">
        <f t="shared" si="1"/>
        <v>11</v>
      </c>
      <c r="B13" s="6" t="s">
        <v>77</v>
      </c>
      <c r="C13" s="10" t="s">
        <v>76</v>
      </c>
      <c r="D13" s="3" t="s">
        <v>78</v>
      </c>
      <c r="E13" s="6">
        <v>2</v>
      </c>
      <c r="F13" s="3" t="s">
        <v>7</v>
      </c>
      <c r="G13" s="3" t="s">
        <v>79</v>
      </c>
      <c r="H13" s="3" t="s">
        <v>80</v>
      </c>
      <c r="I13" s="6" t="s">
        <v>8</v>
      </c>
      <c r="J13" s="3" t="s">
        <v>82</v>
      </c>
      <c r="K13" s="3" t="s">
        <v>81</v>
      </c>
      <c r="L13" s="8">
        <v>4.87</v>
      </c>
      <c r="M13" s="7">
        <f t="shared" si="0"/>
        <v>9.74</v>
      </c>
    </row>
    <row r="14" spans="1:13" s="4" customFormat="1" ht="12" x14ac:dyDescent="0.2">
      <c r="A14" s="6">
        <f t="shared" si="1"/>
        <v>12</v>
      </c>
      <c r="B14" s="6" t="s">
        <v>84</v>
      </c>
      <c r="C14" s="10" t="s">
        <v>83</v>
      </c>
      <c r="D14" s="3" t="s">
        <v>88</v>
      </c>
      <c r="E14" s="6">
        <v>5</v>
      </c>
      <c r="F14" s="3" t="s">
        <v>7</v>
      </c>
      <c r="G14" s="3" t="s">
        <v>85</v>
      </c>
      <c r="H14" s="3" t="s">
        <v>89</v>
      </c>
      <c r="I14" s="6" t="s">
        <v>8</v>
      </c>
      <c r="J14" s="3" t="s">
        <v>87</v>
      </c>
      <c r="K14" s="3" t="s">
        <v>86</v>
      </c>
      <c r="L14" s="8">
        <v>0.28999999999999998</v>
      </c>
      <c r="M14" s="7">
        <f t="shared" si="0"/>
        <v>1.45</v>
      </c>
    </row>
    <row r="15" spans="1:13" s="4" customFormat="1" ht="12" x14ac:dyDescent="0.2">
      <c r="A15" s="6">
        <f t="shared" si="1"/>
        <v>13</v>
      </c>
      <c r="B15" s="6" t="s">
        <v>33</v>
      </c>
      <c r="C15" s="3" t="s">
        <v>23</v>
      </c>
      <c r="D15" s="3" t="s">
        <v>24</v>
      </c>
      <c r="E15" s="6">
        <v>10</v>
      </c>
      <c r="F15" s="3" t="s">
        <v>7</v>
      </c>
      <c r="G15" s="11" t="s">
        <v>25</v>
      </c>
      <c r="H15" s="3" t="s">
        <v>101</v>
      </c>
      <c r="I15" s="11" t="s">
        <v>39</v>
      </c>
      <c r="J15" s="3" t="s">
        <v>27</v>
      </c>
      <c r="K15" s="3" t="s">
        <v>9</v>
      </c>
      <c r="L15" s="8">
        <v>0.39200000000000002</v>
      </c>
      <c r="M15" s="7">
        <f t="shared" si="0"/>
        <v>3.92</v>
      </c>
    </row>
    <row r="16" spans="1:13" s="4" customFormat="1" ht="12" x14ac:dyDescent="0.2">
      <c r="A16" s="6">
        <f t="shared" si="1"/>
        <v>14</v>
      </c>
      <c r="B16" s="6" t="s">
        <v>104</v>
      </c>
      <c r="C16" s="3" t="s">
        <v>108</v>
      </c>
      <c r="D16" s="3" t="s">
        <v>107</v>
      </c>
      <c r="E16" s="6">
        <v>2</v>
      </c>
      <c r="F16" s="3" t="s">
        <v>110</v>
      </c>
      <c r="G16" s="11" t="s">
        <v>106</v>
      </c>
      <c r="H16" s="3"/>
      <c r="I16" s="6" t="s">
        <v>109</v>
      </c>
      <c r="J16" s="3" t="s">
        <v>105</v>
      </c>
      <c r="K16" s="3" t="s">
        <v>111</v>
      </c>
      <c r="L16" s="8">
        <v>0.41</v>
      </c>
      <c r="M16" s="7">
        <f t="shared" si="0"/>
        <v>0.82</v>
      </c>
    </row>
    <row r="17" spans="1:13" s="4" customFormat="1" ht="12" x14ac:dyDescent="0.2">
      <c r="A17" s="6">
        <f t="shared" si="1"/>
        <v>15</v>
      </c>
      <c r="B17" s="6" t="s">
        <v>96</v>
      </c>
      <c r="C17" s="3" t="s">
        <v>97</v>
      </c>
      <c r="D17" s="3" t="s">
        <v>99</v>
      </c>
      <c r="E17" s="6">
        <v>2</v>
      </c>
      <c r="F17" s="3" t="s">
        <v>7</v>
      </c>
      <c r="G17" s="11" t="s">
        <v>98</v>
      </c>
      <c r="H17" s="3" t="s">
        <v>100</v>
      </c>
      <c r="I17" s="6" t="s">
        <v>8</v>
      </c>
      <c r="J17" s="3" t="s">
        <v>103</v>
      </c>
      <c r="K17" s="3" t="s">
        <v>102</v>
      </c>
      <c r="L17" s="8">
        <v>4.9400000000000004</v>
      </c>
      <c r="M17" s="7">
        <f t="shared" si="0"/>
        <v>9.8800000000000008</v>
      </c>
    </row>
    <row r="18" spans="1:13" s="4" customFormat="1" ht="12" x14ac:dyDescent="0.2">
      <c r="A18" s="6">
        <f t="shared" si="1"/>
        <v>16</v>
      </c>
      <c r="B18" s="6" t="s">
        <v>15</v>
      </c>
      <c r="C18" s="3" t="s">
        <v>10</v>
      </c>
      <c r="D18" s="3" t="s">
        <v>11</v>
      </c>
      <c r="E18" s="6">
        <v>10</v>
      </c>
      <c r="F18" s="3" t="s">
        <v>7</v>
      </c>
      <c r="G18" s="3" t="s">
        <v>26</v>
      </c>
      <c r="H18" s="3" t="s">
        <v>13</v>
      </c>
      <c r="I18" s="6" t="s">
        <v>8</v>
      </c>
      <c r="J18" s="3" t="s">
        <v>12</v>
      </c>
      <c r="K18" s="3" t="s">
        <v>14</v>
      </c>
      <c r="L18" s="8">
        <v>0.57499999999999996</v>
      </c>
      <c r="M18" s="7">
        <f t="shared" si="0"/>
        <v>5.75</v>
      </c>
    </row>
    <row r="19" spans="1:13" s="4" customFormat="1" ht="12" x14ac:dyDescent="0.2">
      <c r="M19" s="9">
        <f>SUM(M3:M18)</f>
        <v>35.53</v>
      </c>
    </row>
    <row r="20" spans="1:13" s="4" customFormat="1" ht="12" x14ac:dyDescent="0.2"/>
    <row r="21" spans="1:13" s="4" customFormat="1" ht="12" x14ac:dyDescent="0.2">
      <c r="E21" s="5"/>
    </row>
    <row r="22" spans="1:13" s="4" customFormat="1" ht="12" x14ac:dyDescent="0.2"/>
    <row r="23" spans="1:13" s="4" customFormat="1" ht="12" x14ac:dyDescent="0.2">
      <c r="M23" s="5"/>
    </row>
    <row r="24" spans="1:13" s="4" customFormat="1" ht="12" x14ac:dyDescent="0.2"/>
    <row r="25" spans="1:13" s="4" customFormat="1" ht="12" x14ac:dyDescent="0.2"/>
    <row r="26" spans="1:13" s="4" customFormat="1" ht="12" x14ac:dyDescent="0.2"/>
    <row r="27" spans="1:13" s="4" customFormat="1" ht="12" x14ac:dyDescent="0.2"/>
  </sheetData>
  <mergeCells count="1">
    <mergeCell ref="A1:M1"/>
  </mergeCells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BOM_V1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Delgado Figueroa</dc:creator>
  <cp:lastModifiedBy>Juan Carlos Delgado Figueroa</cp:lastModifiedBy>
  <dcterms:created xsi:type="dcterms:W3CDTF">2025-05-21T20:04:12Z</dcterms:created>
  <dcterms:modified xsi:type="dcterms:W3CDTF">2025-07-25T12:19:18Z</dcterms:modified>
</cp:coreProperties>
</file>