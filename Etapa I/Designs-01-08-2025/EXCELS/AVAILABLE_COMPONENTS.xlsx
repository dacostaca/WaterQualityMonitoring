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cuments\KiCad\9.0\projects\EXCELS\"/>
    </mc:Choice>
  </mc:AlternateContent>
  <xr:revisionPtr revIDLastSave="0" documentId="13_ncr:1_{7D37FE91-1E9C-49CF-B55A-50D17D48AC19}" xr6:coauthVersionLast="47" xr6:coauthVersionMax="47" xr10:uidLastSave="{00000000-0000-0000-0000-000000000000}"/>
  <bookViews>
    <workbookView xWindow="-120" yWindow="-120" windowWidth="20730" windowHeight="11040" xr2:uid="{168ED45A-FBC8-48CC-82DA-1973D507F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3" i="1"/>
  <c r="B24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<sst xmlns="http://schemas.openxmlformats.org/spreadsheetml/2006/main" count="385" uniqueCount="230">
  <si>
    <t>Index</t>
  </si>
  <si>
    <t>Reference Designator</t>
  </si>
  <si>
    <t>Manufacturer Part Number</t>
  </si>
  <si>
    <t>Manufacturer Name</t>
  </si>
  <si>
    <t xml:space="preserve">Pack Quantity </t>
  </si>
  <si>
    <t xml:space="preserve">Pack Type </t>
  </si>
  <si>
    <t>Package</t>
  </si>
  <si>
    <t>Munting Style</t>
  </si>
  <si>
    <t>Description</t>
  </si>
  <si>
    <t>YAGEO</t>
  </si>
  <si>
    <t>Cut Tape (CT)</t>
  </si>
  <si>
    <t>0603 (1608 Metric)</t>
  </si>
  <si>
    <t>SMD/SMT</t>
  </si>
  <si>
    <t>Bulk</t>
  </si>
  <si>
    <t>Through Hole</t>
  </si>
  <si>
    <t>U4</t>
  </si>
  <si>
    <t>AVAILABLE COMPONENTS</t>
  </si>
  <si>
    <t xml:space="preserve">Distributor </t>
  </si>
  <si>
    <t>U1</t>
  </si>
  <si>
    <t>Mouser</t>
  </si>
  <si>
    <t>Component</t>
  </si>
  <si>
    <t>MCU</t>
  </si>
  <si>
    <t>ESP32-S2-SOLO</t>
  </si>
  <si>
    <t>Espressif Systems</t>
  </si>
  <si>
    <t>40-SMD Module</t>
  </si>
  <si>
    <t>WiFi 802.11b/g/n Transceiver Module 2.4GHz PCB Trace Surface Mount</t>
  </si>
  <si>
    <t>U2</t>
  </si>
  <si>
    <t>spiFlash</t>
  </si>
  <si>
    <t>W25Q80DVSSIG</t>
  </si>
  <si>
    <t>Winbond</t>
  </si>
  <si>
    <t>SOIC-8</t>
  </si>
  <si>
    <t>NOR Flash spiFlash, 8M-bit, 4Kb Uniform Sector</t>
  </si>
  <si>
    <t>LED1</t>
  </si>
  <si>
    <t>Red LED</t>
  </si>
  <si>
    <t>TLMS1100-GS08</t>
  </si>
  <si>
    <t>Vishay Semiconductors</t>
  </si>
  <si>
    <t>Single Color LEDs Red Non-Diffused</t>
  </si>
  <si>
    <t>U3</t>
  </si>
  <si>
    <t>USB Interface</t>
  </si>
  <si>
    <t>Silicon Labs</t>
  </si>
  <si>
    <t>CP2102N-A02-GQFN28</t>
  </si>
  <si>
    <t>QFN-28</t>
  </si>
  <si>
    <t>USB Interface IC USBXpress - USB to UART Bridge QFN28</t>
  </si>
  <si>
    <t>ESD Protection Diodes</t>
  </si>
  <si>
    <t>Texas Instruments</t>
  </si>
  <si>
    <t>TPD4S009DBVR</t>
  </si>
  <si>
    <t>SOT-23-6</t>
  </si>
  <si>
    <t>ESD Protection Diodes / TVS Diodes 4Ch ESD Sol for Hi S peed Diff Interface</t>
  </si>
  <si>
    <t>D</t>
  </si>
  <si>
    <t>C1</t>
  </si>
  <si>
    <t>Capacitor 10uF 16V</t>
  </si>
  <si>
    <t>Murata Electronics</t>
  </si>
  <si>
    <t>GRM21BR61C106KE15L</t>
  </si>
  <si>
    <t>0805 (2012 Metric)</t>
  </si>
  <si>
    <t>Multilayer Ceramic Capacitors MLCC - SMD/SMT 10 uF 16 VDC 10% 0805 X5R</t>
  </si>
  <si>
    <t>C2</t>
  </si>
  <si>
    <t>Capacitor 0,1uF 100V</t>
  </si>
  <si>
    <t>KEMET</t>
  </si>
  <si>
    <t>C1206C104K1RACTU</t>
  </si>
  <si>
    <t>1206 (3216 Metric)</t>
  </si>
  <si>
    <t>Multilayer Ceramic Capacitors MLCC - SMD/SMT 100V 0.1uF X7R 1206 10%</t>
  </si>
  <si>
    <t>C3</t>
  </si>
  <si>
    <t>Capacitor 10uF 25V</t>
  </si>
  <si>
    <t>GRM21BR61E106KA73L</t>
  </si>
  <si>
    <t>Multilayer Ceramic Capacitors MLCC - SMD/SMT 10 uF 25 VDC 10% 0805 X5R</t>
  </si>
  <si>
    <t>C4</t>
  </si>
  <si>
    <t>Capacitor 100nF 6,3V</t>
  </si>
  <si>
    <t>CL03A104KQ3NNNH</t>
  </si>
  <si>
    <t>Samsung Electro-Mechanics</t>
  </si>
  <si>
    <t>Multilayer Ceramic Capacitors MLCC - SMD/SMT 100nF+/-10% 6.3V X5R 0201</t>
  </si>
  <si>
    <t>0201 (0603 Metric)</t>
  </si>
  <si>
    <t>C5</t>
  </si>
  <si>
    <t>Capacitor 1uF 16V</t>
  </si>
  <si>
    <t>CC0805KKX7R7BB105</t>
  </si>
  <si>
    <t>Multilayer Ceramic Capacitors MLCC - SMD/SMT 16V 1uF X7R 0805 10% HI CV</t>
  </si>
  <si>
    <t>C6</t>
  </si>
  <si>
    <t>GRM21BR60J226ME39L</t>
  </si>
  <si>
    <t>Capacitor 22uF 6.3VDC</t>
  </si>
  <si>
    <t>Multilayer Ceramic Capacitors MLCC - SMD/SMT 22 uF 6.3 VDC 20% 0805 X5R</t>
  </si>
  <si>
    <t>C7</t>
  </si>
  <si>
    <t>CL21B223KBANNNC</t>
  </si>
  <si>
    <t>Multilayer Ceramic Capacitors MLCC - SMD/SMT 22nF+/-10% 50V X7R 2 0805</t>
  </si>
  <si>
    <t>Schottky Diode</t>
  </si>
  <si>
    <t>MSS1P4-M3_89A</t>
  </si>
  <si>
    <t>Vishay General Semiconductor</t>
  </si>
  <si>
    <t>DO-219AD-2</t>
  </si>
  <si>
    <t>Schottky Diodes &amp; Rectifiers 1.0 Amp 40 Volt</t>
  </si>
  <si>
    <t>R1</t>
  </si>
  <si>
    <t>Resistor  10k</t>
  </si>
  <si>
    <t>Bourns</t>
  </si>
  <si>
    <t>CR0603-FX-1002ELF</t>
  </si>
  <si>
    <t>Thick Film Resistors - SMD 10K 1% 1/10W</t>
  </si>
  <si>
    <t>R2</t>
  </si>
  <si>
    <t>Resistor  0 Omh</t>
  </si>
  <si>
    <t>RC0603JR-070RL</t>
  </si>
  <si>
    <t>R3</t>
  </si>
  <si>
    <t>Resistor  1k</t>
  </si>
  <si>
    <t>AC0603FR-071KL</t>
  </si>
  <si>
    <t>Thick Film Resistors - SMD 1 k Ohms 100m W 0603 1% AEC-Q200 Standard Power Version</t>
  </si>
  <si>
    <t>R4</t>
  </si>
  <si>
    <t>R5</t>
  </si>
  <si>
    <t>Resistor  22.1k</t>
  </si>
  <si>
    <t>RC0402FR-0722K1L</t>
  </si>
  <si>
    <t>R6</t>
  </si>
  <si>
    <t>Resistor  47.5k</t>
  </si>
  <si>
    <t>Vishay / Dale</t>
  </si>
  <si>
    <t>CRCW060347K5FKEA</t>
  </si>
  <si>
    <t>0402  (1005 Metric)</t>
  </si>
  <si>
    <t>0603  (1608 Metric)</t>
  </si>
  <si>
    <t>Thick Film Resistors - SMD 1/10watt 47.5Kohms 1%</t>
  </si>
  <si>
    <t>Thick Film Resistors - SMD 22.1 kOhms 62.5mW 0402 1%</t>
  </si>
  <si>
    <t>Thick Film Resistors - SMD 0 Ohms 100 mW 0603 5%</t>
  </si>
  <si>
    <t>R7</t>
  </si>
  <si>
    <t>Resistor  20k</t>
  </si>
  <si>
    <t>AC0603FR-0720KL</t>
  </si>
  <si>
    <t>Thick Film Resistors - SMD 20 kOhms 100mW 0603 1% AEC-Q200 Standard Power Version</t>
  </si>
  <si>
    <t>Resistor  2k</t>
  </si>
  <si>
    <t>RC0603FR-072KL</t>
  </si>
  <si>
    <t>Thick Film Resistors - SMD 2 kOhms 100mW 0603 1%</t>
  </si>
  <si>
    <t>J1</t>
  </si>
  <si>
    <t xml:space="preserve">USB Connector </t>
  </si>
  <si>
    <t>651305142821</t>
  </si>
  <si>
    <t>Wurth Elektronik</t>
  </si>
  <si>
    <t>USB Connectors WR-COM Type AB SMT 5Pin Horztl FemlMini</t>
  </si>
  <si>
    <t>J2</t>
  </si>
  <si>
    <t>SSW-105-01-G-S</t>
  </si>
  <si>
    <t>Q</t>
  </si>
  <si>
    <t>Transistor BJT</t>
  </si>
  <si>
    <t>onsemi</t>
  </si>
  <si>
    <t>BC848CLT1G</t>
  </si>
  <si>
    <t>SOT-23-3</t>
  </si>
  <si>
    <t>Bipolar Transistors - BJT 100mA 30V NPN</t>
  </si>
  <si>
    <t>SW</t>
  </si>
  <si>
    <t>Switch</t>
  </si>
  <si>
    <t>C&amp;K</t>
  </si>
  <si>
    <t>PTS810SJG250SMTR LFS</t>
  </si>
  <si>
    <t>Tactile Switches Microminiature SMT Top Actuated</t>
  </si>
  <si>
    <t>U5</t>
  </si>
  <si>
    <t>LDO</t>
  </si>
  <si>
    <t>Headers &amp; Wire Housings</t>
  </si>
  <si>
    <t>Samtec</t>
  </si>
  <si>
    <t>Headers &amp; Wire Housings Tiger Buy(TM) Socket Strip with PCB Tails</t>
  </si>
  <si>
    <t>J3</t>
  </si>
  <si>
    <t>Headers &amp; Wire Housings WR-PHD 2.54mm Hdr 4P Single Str Gold</t>
  </si>
  <si>
    <t>ADP150AUJZ-3.3-R7</t>
  </si>
  <si>
    <t>Analog Devices</t>
  </si>
  <si>
    <t>TSOT-23-5</t>
  </si>
  <si>
    <t>Linear Voltage Regulators 150mA Ultra-Low Noise LDO 3.3 Vout</t>
  </si>
  <si>
    <t>CC0603KPX7R7BB104</t>
  </si>
  <si>
    <t>Würth Elektronik</t>
  </si>
  <si>
    <t>RC0603FR-0727K4L</t>
  </si>
  <si>
    <t>RC0603FR-0771K5L</t>
  </si>
  <si>
    <t>RC0603FR-0786K6L</t>
  </si>
  <si>
    <t>RC0603JR-07100RL</t>
  </si>
  <si>
    <t>RC0603FR-1340K2L</t>
  </si>
  <si>
    <t>ERT-J1VG103FA</t>
  </si>
  <si>
    <t>Panasonic Electronic Components</t>
  </si>
  <si>
    <t>LTST-C191KGKT</t>
  </si>
  <si>
    <t>Lite-On Inc.</t>
  </si>
  <si>
    <t>0630CDMCCDS-2R2MC</t>
  </si>
  <si>
    <t>Sumida America Components Inc.</t>
  </si>
  <si>
    <t>MP2639AGR-Z</t>
  </si>
  <si>
    <t>Monolithic Power Systems Inc.</t>
  </si>
  <si>
    <t>26-QFN (4x4)</t>
  </si>
  <si>
    <t>PJA3404-AU_R1_000A1</t>
  </si>
  <si>
    <t>Panjit International Inc.</t>
  </si>
  <si>
    <t>SOT-23</t>
  </si>
  <si>
    <t>UJ20-C-H-G-SMT-1-P16-TR</t>
  </si>
  <si>
    <t>Same Sky (Formerly CUI Devices)</t>
  </si>
  <si>
    <t xml:space="preserve">  </t>
  </si>
  <si>
    <t>Surface Mount, Right Angle; Through Hole</t>
  </si>
  <si>
    <t>BH-80B-1</t>
  </si>
  <si>
    <t>Adam Tech</t>
  </si>
  <si>
    <t>MAX31328NELB+</t>
  </si>
  <si>
    <t>Analog Devices Inc./Maxim Integrated</t>
  </si>
  <si>
    <t>10-LGA (5x5)</t>
  </si>
  <si>
    <t>AMS1117CD-3.3</t>
  </si>
  <si>
    <t>UMW(Youtai Semiconductor Co., Ltd.)</t>
  </si>
  <si>
    <t>TO-252-2</t>
  </si>
  <si>
    <t>J4</t>
  </si>
  <si>
    <t>J5</t>
  </si>
  <si>
    <t>Capacitor 100nF 16V</t>
  </si>
  <si>
    <t>Capacitor 33pF 10V</t>
  </si>
  <si>
    <t>Resistor  27.4k</t>
  </si>
  <si>
    <t>Resistor  71,5k</t>
  </si>
  <si>
    <t>Resistor  86,6k</t>
  </si>
  <si>
    <t>Resistor  100 Ohm</t>
  </si>
  <si>
    <t>Thermistor 10k</t>
  </si>
  <si>
    <t>Green LED</t>
  </si>
  <si>
    <t>Inductor 22 uH</t>
  </si>
  <si>
    <t>Charguer IC</t>
  </si>
  <si>
    <t>Transistor Chanel-N</t>
  </si>
  <si>
    <t>USB-C</t>
  </si>
  <si>
    <t>Battery Holder</t>
  </si>
  <si>
    <t>RTC</t>
  </si>
  <si>
    <t>Digi-Key</t>
  </si>
  <si>
    <t>1 (Falla TX)</t>
  </si>
  <si>
    <t>B1</t>
  </si>
  <si>
    <t>0402 (1608 Metric)</t>
  </si>
  <si>
    <t>Capacitor 22nF 50V</t>
  </si>
  <si>
    <t>Resistor 40,2 k</t>
  </si>
  <si>
    <t>C8</t>
  </si>
  <si>
    <t>C9</t>
  </si>
  <si>
    <t>R8</t>
  </si>
  <si>
    <t>R9</t>
  </si>
  <si>
    <t>R10</t>
  </si>
  <si>
    <t>R11</t>
  </si>
  <si>
    <t>R12</t>
  </si>
  <si>
    <t>R13</t>
  </si>
  <si>
    <t>LED2</t>
  </si>
  <si>
    <t>L1</t>
  </si>
  <si>
    <t>Q2</t>
  </si>
  <si>
    <t>U6</t>
  </si>
  <si>
    <t>U7</t>
  </si>
  <si>
    <t>0.1 µF ±10% 16V Ceramic Capacitor X7R 0603 (1608 Metric)</t>
  </si>
  <si>
    <t>33 pF ±5% 10V Ceramic Capacitor C0G, NP0 0603 (1608 Metric)</t>
  </si>
  <si>
    <t>27.4 kOhms ±1% 0.1W, 1/10W Chip Resistor 0603 (1608 Metric) Moisture Resistant Thick Film</t>
  </si>
  <si>
    <t>71.5 kOhms ±1% 0.1W, 1/10W Chip Resistor 0603 (1608 Metric) Moisture Resistant Thick Film</t>
  </si>
  <si>
    <t>86.6 kOhms ±1% 0.1W, 1/10W Chip Resistor 0603 (1608 Metric) Moisture Resistant Thick Film</t>
  </si>
  <si>
    <t>100 Ohms ±5% 0.1W, 1/10W Chip Resistor 0603 (1608 Metric) Moisture Resistant Thick Film</t>
  </si>
  <si>
    <t>40.2 kOhms ±1% 0.1W, 1/10W Chip Resistor 0603 (1608 Metric) Thick Film</t>
  </si>
  <si>
    <t>THERMISTOR NTC 10KOHM 3380K 0603</t>
  </si>
  <si>
    <t>Green 571nm LED Indication - Discrete 2V 0603 (1608 Metric)</t>
  </si>
  <si>
    <t>2.2 µH Shielded Molded Inductor 9.3 A 15mOhm Max Nonstandard</t>
  </si>
  <si>
    <t>Charger IC Lithium Ion/Polymer 26-QFN (4x4)</t>
  </si>
  <si>
    <t>N-Channel 30 V 5.6A (Ta) 1.25W (Ta) Surface Mount SOT-23</t>
  </si>
  <si>
    <t>USB JACK, TYPE C,2.0, HORIZONTAL</t>
  </si>
  <si>
    <t>Battery Holder (Open) Coin, 20.0mm 1 Cell PC Pin</t>
  </si>
  <si>
    <t>Real Time Clock (RTC) IC Clock/Calendar I2C 10-LLGA</t>
  </si>
  <si>
    <t>1A Fixed 3.3V Positive electrode 18V TO-252-2 Voltage Regulators - Linear, Low Drop Out (LDO) Regulators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</si>
</sst>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00_-;\-&quot;$&quot;\ * #,##0.000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/>
      <bottom style="hair">
        <color theme="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2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164" fontId="4" fillId="0" borderId="0" xfId="1" applyNumberFormat="1" applyFont="1" applyBorder="1"/>
    <xf numFmtId="44" fontId="4" fillId="0" borderId="0" xfId="0" applyNumberFormat="1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/>
    <xf numFmtId="0" fontId="5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BCE8-0BB1-4825-B509-13349F374559}">
  <dimension ref="A2:O45"/>
  <sheetViews>
    <sheetView tabSelected="1" topLeftCell="A27" workbookViewId="0">
      <selection activeCell="M41" sqref="M41"/>
    </sheetView>
  </sheetViews>
  <sheetFormatPr baseColWidth="10" defaultRowHeight="15" x14ac:dyDescent="0.25"/>
  <cols>
    <col min="4" max="4" width="16.42578125" customWidth="1"/>
    <col min="5" max="5" width="21.140625" customWidth="1"/>
    <col min="11" max="11" width="14.5703125" customWidth="1"/>
  </cols>
  <sheetData>
    <row r="2" spans="2:15" x14ac:dyDescent="0.25">
      <c r="B2" s="16" t="s">
        <v>16</v>
      </c>
      <c r="C2" s="17"/>
      <c r="D2" s="17"/>
      <c r="E2" s="17"/>
      <c r="F2" s="17"/>
      <c r="G2" s="17"/>
      <c r="H2" s="17"/>
      <c r="I2" s="17"/>
      <c r="J2" s="17"/>
      <c r="K2" s="17"/>
      <c r="L2" s="18"/>
      <c r="M2" s="12"/>
      <c r="N2" s="12"/>
      <c r="O2" s="12"/>
    </row>
    <row r="3" spans="2:15" ht="30" x14ac:dyDescent="0.25">
      <c r="B3" s="1" t="s">
        <v>0</v>
      </c>
      <c r="C3" s="1" t="s">
        <v>1</v>
      </c>
      <c r="D3" s="1" t="s">
        <v>20</v>
      </c>
      <c r="E3" s="1" t="s">
        <v>2</v>
      </c>
      <c r="F3" s="1" t="s">
        <v>3</v>
      </c>
      <c r="G3" s="1" t="s">
        <v>4</v>
      </c>
      <c r="H3" s="1" t="s">
        <v>17</v>
      </c>
      <c r="I3" s="2" t="s">
        <v>6</v>
      </c>
      <c r="J3" s="7" t="s">
        <v>8</v>
      </c>
      <c r="K3" s="2" t="s">
        <v>7</v>
      </c>
      <c r="L3" s="1" t="s">
        <v>5</v>
      </c>
      <c r="M3" s="8"/>
      <c r="N3" s="8"/>
      <c r="O3" s="8"/>
    </row>
    <row r="4" spans="2:15" x14ac:dyDescent="0.25">
      <c r="B4" s="3">
        <v>1</v>
      </c>
      <c r="C4" s="3" t="s">
        <v>18</v>
      </c>
      <c r="D4" s="6" t="s">
        <v>21</v>
      </c>
      <c r="E4" s="4" t="s">
        <v>22</v>
      </c>
      <c r="F4" s="4" t="s">
        <v>23</v>
      </c>
      <c r="G4" s="3">
        <v>6</v>
      </c>
      <c r="H4" s="3" t="s">
        <v>19</v>
      </c>
      <c r="I4" s="6" t="s">
        <v>24</v>
      </c>
      <c r="J4" s="9" t="s">
        <v>25</v>
      </c>
      <c r="K4" s="3" t="s">
        <v>12</v>
      </c>
      <c r="L4" s="4" t="s">
        <v>10</v>
      </c>
      <c r="M4" s="9"/>
      <c r="N4" s="10"/>
      <c r="O4" s="11"/>
    </row>
    <row r="5" spans="2:15" x14ac:dyDescent="0.25">
      <c r="B5" s="3">
        <f>1+B4</f>
        <v>2</v>
      </c>
      <c r="C5" s="3" t="s">
        <v>26</v>
      </c>
      <c r="D5" s="6" t="s">
        <v>27</v>
      </c>
      <c r="E5" s="5" t="s">
        <v>28</v>
      </c>
      <c r="F5" s="4" t="s">
        <v>29</v>
      </c>
      <c r="G5" s="3">
        <v>3</v>
      </c>
      <c r="H5" s="3" t="s">
        <v>19</v>
      </c>
      <c r="I5" s="4" t="s">
        <v>30</v>
      </c>
      <c r="J5" s="4" t="s">
        <v>31</v>
      </c>
      <c r="K5" s="3" t="s">
        <v>12</v>
      </c>
      <c r="L5" s="4" t="s">
        <v>10</v>
      </c>
      <c r="M5" s="9"/>
      <c r="N5" s="10"/>
      <c r="O5" s="11"/>
    </row>
    <row r="6" spans="2:15" x14ac:dyDescent="0.25">
      <c r="B6" s="3">
        <f t="shared" ref="B6:B45" si="0">1+B5</f>
        <v>3</v>
      </c>
      <c r="C6" s="3" t="s">
        <v>37</v>
      </c>
      <c r="D6" s="6" t="s">
        <v>38</v>
      </c>
      <c r="E6" s="4" t="s">
        <v>40</v>
      </c>
      <c r="F6" s="4" t="s">
        <v>39</v>
      </c>
      <c r="G6" s="3" t="s">
        <v>196</v>
      </c>
      <c r="H6" s="3" t="s">
        <v>19</v>
      </c>
      <c r="I6" s="6" t="s">
        <v>41</v>
      </c>
      <c r="J6" s="4" t="s">
        <v>42</v>
      </c>
      <c r="K6" s="3" t="s">
        <v>12</v>
      </c>
      <c r="L6" s="4" t="s">
        <v>10</v>
      </c>
    </row>
    <row r="7" spans="2:15" x14ac:dyDescent="0.25">
      <c r="B7" s="3">
        <f t="shared" si="0"/>
        <v>4</v>
      </c>
      <c r="C7" s="3" t="s">
        <v>15</v>
      </c>
      <c r="D7" s="4" t="s">
        <v>43</v>
      </c>
      <c r="E7" s="4" t="s">
        <v>45</v>
      </c>
      <c r="F7" s="4" t="s">
        <v>44</v>
      </c>
      <c r="G7" s="3">
        <v>1</v>
      </c>
      <c r="H7" s="3" t="s">
        <v>19</v>
      </c>
      <c r="I7" s="6" t="s">
        <v>46</v>
      </c>
      <c r="J7" s="4" t="s">
        <v>47</v>
      </c>
      <c r="K7" s="3" t="s">
        <v>12</v>
      </c>
      <c r="L7" s="4" t="s">
        <v>10</v>
      </c>
    </row>
    <row r="8" spans="2:15" x14ac:dyDescent="0.25">
      <c r="B8" s="3">
        <f t="shared" si="0"/>
        <v>5</v>
      </c>
      <c r="C8" s="3" t="s">
        <v>197</v>
      </c>
      <c r="D8" s="4" t="s">
        <v>138</v>
      </c>
      <c r="E8" s="4" t="s">
        <v>144</v>
      </c>
      <c r="F8" s="4" t="s">
        <v>145</v>
      </c>
      <c r="G8" s="3">
        <v>3</v>
      </c>
      <c r="H8" s="3" t="s">
        <v>19</v>
      </c>
      <c r="I8" s="6" t="s">
        <v>146</v>
      </c>
      <c r="J8" s="4" t="s">
        <v>147</v>
      </c>
      <c r="K8" s="3" t="s">
        <v>12</v>
      </c>
      <c r="L8" s="4" t="s">
        <v>10</v>
      </c>
    </row>
    <row r="9" spans="2:15" x14ac:dyDescent="0.25">
      <c r="B9" s="3">
        <f t="shared" si="0"/>
        <v>6</v>
      </c>
      <c r="C9" s="3" t="s">
        <v>32</v>
      </c>
      <c r="D9" s="6" t="s">
        <v>33</v>
      </c>
      <c r="E9" s="5" t="s">
        <v>34</v>
      </c>
      <c r="F9" s="4" t="s">
        <v>35</v>
      </c>
      <c r="G9" s="3">
        <v>3</v>
      </c>
      <c r="H9" s="3" t="s">
        <v>19</v>
      </c>
      <c r="I9" s="4" t="s">
        <v>11</v>
      </c>
      <c r="J9" s="4" t="s">
        <v>36</v>
      </c>
      <c r="K9" s="3" t="s">
        <v>12</v>
      </c>
      <c r="L9" s="4" t="s">
        <v>10</v>
      </c>
      <c r="M9" s="9"/>
      <c r="N9" s="10"/>
      <c r="O9" s="11"/>
    </row>
    <row r="10" spans="2:15" x14ac:dyDescent="0.25">
      <c r="B10" s="3">
        <f t="shared" si="0"/>
        <v>7</v>
      </c>
      <c r="C10" s="3" t="s">
        <v>48</v>
      </c>
      <c r="D10" s="4" t="s">
        <v>82</v>
      </c>
      <c r="E10" s="4" t="s">
        <v>83</v>
      </c>
      <c r="F10" s="4" t="s">
        <v>84</v>
      </c>
      <c r="G10" s="3">
        <v>5</v>
      </c>
      <c r="H10" s="3" t="s">
        <v>19</v>
      </c>
      <c r="I10" s="4" t="s">
        <v>85</v>
      </c>
      <c r="J10" s="4" t="s">
        <v>86</v>
      </c>
      <c r="K10" s="3" t="s">
        <v>12</v>
      </c>
      <c r="L10" s="4" t="s">
        <v>10</v>
      </c>
      <c r="M10" s="9"/>
      <c r="N10" s="10"/>
      <c r="O10" s="11"/>
    </row>
    <row r="11" spans="2:15" x14ac:dyDescent="0.25">
      <c r="B11" s="3">
        <f t="shared" si="0"/>
        <v>8</v>
      </c>
      <c r="C11" s="3" t="s">
        <v>49</v>
      </c>
      <c r="D11" s="4" t="s">
        <v>50</v>
      </c>
      <c r="E11" s="4" t="s">
        <v>52</v>
      </c>
      <c r="F11" s="4" t="s">
        <v>51</v>
      </c>
      <c r="G11" s="3">
        <v>89</v>
      </c>
      <c r="H11" s="3" t="s">
        <v>19</v>
      </c>
      <c r="I11" s="4" t="s">
        <v>53</v>
      </c>
      <c r="J11" s="4" t="s">
        <v>54</v>
      </c>
      <c r="K11" s="3" t="s">
        <v>12</v>
      </c>
      <c r="L11" s="4" t="s">
        <v>10</v>
      </c>
      <c r="M11" s="9"/>
      <c r="N11" s="10"/>
      <c r="O11" s="11"/>
    </row>
    <row r="12" spans="2:15" x14ac:dyDescent="0.25">
      <c r="B12" s="3">
        <f t="shared" si="0"/>
        <v>9</v>
      </c>
      <c r="C12" s="3" t="s">
        <v>55</v>
      </c>
      <c r="D12" s="4" t="s">
        <v>62</v>
      </c>
      <c r="E12" s="4" t="s">
        <v>63</v>
      </c>
      <c r="F12" s="4" t="s">
        <v>51</v>
      </c>
      <c r="G12" s="3">
        <v>6</v>
      </c>
      <c r="H12" s="3" t="s">
        <v>19</v>
      </c>
      <c r="I12" s="4" t="s">
        <v>53</v>
      </c>
      <c r="J12" s="4" t="s">
        <v>64</v>
      </c>
      <c r="K12" s="3" t="s">
        <v>12</v>
      </c>
      <c r="L12" s="4" t="s">
        <v>10</v>
      </c>
      <c r="M12" s="9"/>
      <c r="N12" s="10"/>
      <c r="O12" s="11"/>
    </row>
    <row r="13" spans="2:15" x14ac:dyDescent="0.25">
      <c r="B13" s="3">
        <f t="shared" si="0"/>
        <v>10</v>
      </c>
      <c r="C13" s="3" t="s">
        <v>61</v>
      </c>
      <c r="D13" s="4" t="s">
        <v>56</v>
      </c>
      <c r="E13" s="4" t="s">
        <v>58</v>
      </c>
      <c r="F13" s="4" t="s">
        <v>57</v>
      </c>
      <c r="G13" s="3">
        <v>88</v>
      </c>
      <c r="H13" s="3" t="s">
        <v>19</v>
      </c>
      <c r="I13" s="6" t="s">
        <v>59</v>
      </c>
      <c r="J13" s="4" t="s">
        <v>60</v>
      </c>
      <c r="K13" s="3" t="s">
        <v>12</v>
      </c>
      <c r="L13" s="4" t="s">
        <v>10</v>
      </c>
      <c r="M13" s="9"/>
      <c r="N13" s="10"/>
      <c r="O13" s="11"/>
    </row>
    <row r="14" spans="2:15" x14ac:dyDescent="0.25">
      <c r="B14" s="3">
        <f t="shared" si="0"/>
        <v>11</v>
      </c>
      <c r="C14" s="3" t="s">
        <v>65</v>
      </c>
      <c r="D14" s="4" t="s">
        <v>66</v>
      </c>
      <c r="E14" s="5" t="s">
        <v>67</v>
      </c>
      <c r="F14" s="4" t="s">
        <v>68</v>
      </c>
      <c r="G14" s="3">
        <v>5</v>
      </c>
      <c r="H14" s="3" t="s">
        <v>19</v>
      </c>
      <c r="I14" s="4" t="s">
        <v>70</v>
      </c>
      <c r="J14" s="15" t="s">
        <v>69</v>
      </c>
      <c r="K14" s="3" t="s">
        <v>12</v>
      </c>
      <c r="L14" s="4" t="s">
        <v>10</v>
      </c>
      <c r="M14" s="9"/>
      <c r="N14" s="10"/>
      <c r="O14" s="11"/>
    </row>
    <row r="15" spans="2:15" x14ac:dyDescent="0.25">
      <c r="B15" s="3">
        <f t="shared" si="0"/>
        <v>12</v>
      </c>
      <c r="C15" s="3" t="s">
        <v>71</v>
      </c>
      <c r="D15" s="4" t="s">
        <v>72</v>
      </c>
      <c r="E15" s="9" t="s">
        <v>73</v>
      </c>
      <c r="F15" s="4" t="s">
        <v>9</v>
      </c>
      <c r="G15" s="3">
        <v>2</v>
      </c>
      <c r="H15" s="3" t="s">
        <v>19</v>
      </c>
      <c r="I15" s="4" t="s">
        <v>53</v>
      </c>
      <c r="J15" s="4" t="s">
        <v>74</v>
      </c>
      <c r="K15" s="3" t="s">
        <v>12</v>
      </c>
      <c r="L15" s="4" t="s">
        <v>10</v>
      </c>
      <c r="M15" s="9"/>
      <c r="N15" s="10"/>
      <c r="O15" s="11"/>
    </row>
    <row r="16" spans="2:15" x14ac:dyDescent="0.25">
      <c r="B16" s="3">
        <f t="shared" si="0"/>
        <v>13</v>
      </c>
      <c r="C16" s="3" t="s">
        <v>75</v>
      </c>
      <c r="D16" s="4" t="s">
        <v>77</v>
      </c>
      <c r="E16" s="4" t="s">
        <v>76</v>
      </c>
      <c r="F16" s="4" t="s">
        <v>51</v>
      </c>
      <c r="G16" s="3">
        <v>6</v>
      </c>
      <c r="H16" s="3" t="s">
        <v>19</v>
      </c>
      <c r="I16" s="4" t="s">
        <v>53</v>
      </c>
      <c r="J16" s="4" t="s">
        <v>78</v>
      </c>
      <c r="K16" s="3" t="s">
        <v>12</v>
      </c>
      <c r="L16" s="4" t="s">
        <v>10</v>
      </c>
      <c r="M16" s="9"/>
      <c r="N16" s="10"/>
      <c r="O16" s="11"/>
    </row>
    <row r="17" spans="2:15" x14ac:dyDescent="0.25">
      <c r="B17" s="3">
        <f t="shared" si="0"/>
        <v>14</v>
      </c>
      <c r="C17" s="3" t="s">
        <v>79</v>
      </c>
      <c r="D17" s="4" t="s">
        <v>199</v>
      </c>
      <c r="E17" s="4" t="s">
        <v>80</v>
      </c>
      <c r="F17" s="4" t="s">
        <v>68</v>
      </c>
      <c r="G17" s="3">
        <v>8</v>
      </c>
      <c r="H17" s="3" t="s">
        <v>19</v>
      </c>
      <c r="I17" s="4" t="s">
        <v>53</v>
      </c>
      <c r="J17" s="4" t="s">
        <v>81</v>
      </c>
      <c r="K17" s="3" t="s">
        <v>12</v>
      </c>
      <c r="L17" s="4" t="s">
        <v>10</v>
      </c>
      <c r="M17" s="9"/>
      <c r="N17" s="10"/>
      <c r="O17" s="11"/>
    </row>
    <row r="18" spans="2:15" x14ac:dyDescent="0.25">
      <c r="B18" s="3">
        <f t="shared" si="0"/>
        <v>15</v>
      </c>
      <c r="C18" s="3" t="s">
        <v>87</v>
      </c>
      <c r="D18" s="4" t="s">
        <v>88</v>
      </c>
      <c r="E18" s="4" t="s">
        <v>90</v>
      </c>
      <c r="F18" s="4" t="s">
        <v>89</v>
      </c>
      <c r="G18" s="3">
        <v>72</v>
      </c>
      <c r="H18" s="3" t="s">
        <v>19</v>
      </c>
      <c r="I18" s="4" t="s">
        <v>11</v>
      </c>
      <c r="J18" s="4" t="s">
        <v>91</v>
      </c>
      <c r="K18" s="3" t="s">
        <v>12</v>
      </c>
      <c r="L18" s="4" t="s">
        <v>10</v>
      </c>
      <c r="M18" s="9"/>
      <c r="N18" s="10"/>
      <c r="O18" s="11"/>
    </row>
    <row r="19" spans="2:15" x14ac:dyDescent="0.25">
      <c r="B19" s="3">
        <f t="shared" si="0"/>
        <v>16</v>
      </c>
      <c r="C19" s="3" t="s">
        <v>92</v>
      </c>
      <c r="D19" s="13" t="s">
        <v>93</v>
      </c>
      <c r="E19" s="13" t="s">
        <v>94</v>
      </c>
      <c r="F19" s="4" t="s">
        <v>9</v>
      </c>
      <c r="G19" s="3">
        <v>2</v>
      </c>
      <c r="H19" s="3" t="s">
        <v>19</v>
      </c>
      <c r="I19" s="4" t="s">
        <v>11</v>
      </c>
      <c r="J19" s="4" t="s">
        <v>111</v>
      </c>
      <c r="K19" s="3" t="s">
        <v>12</v>
      </c>
      <c r="L19" s="4" t="s">
        <v>10</v>
      </c>
      <c r="M19" s="9"/>
      <c r="N19" s="10"/>
      <c r="O19" s="11"/>
    </row>
    <row r="20" spans="2:15" x14ac:dyDescent="0.25">
      <c r="B20" s="3">
        <f t="shared" si="0"/>
        <v>17</v>
      </c>
      <c r="C20" s="3" t="s">
        <v>95</v>
      </c>
      <c r="D20" s="4" t="s">
        <v>96</v>
      </c>
      <c r="E20" s="4" t="s">
        <v>97</v>
      </c>
      <c r="F20" s="4" t="s">
        <v>9</v>
      </c>
      <c r="G20" s="3">
        <v>88</v>
      </c>
      <c r="H20" s="3" t="s">
        <v>19</v>
      </c>
      <c r="I20" s="4" t="s">
        <v>11</v>
      </c>
      <c r="J20" s="4" t="s">
        <v>98</v>
      </c>
      <c r="K20" s="3" t="s">
        <v>12</v>
      </c>
      <c r="L20" s="4" t="s">
        <v>10</v>
      </c>
      <c r="M20" s="9"/>
      <c r="N20" s="10"/>
      <c r="O20" s="11"/>
    </row>
    <row r="21" spans="2:15" x14ac:dyDescent="0.25">
      <c r="B21" s="3">
        <f t="shared" si="0"/>
        <v>18</v>
      </c>
      <c r="C21" s="3" t="s">
        <v>99</v>
      </c>
      <c r="D21" s="4" t="s">
        <v>116</v>
      </c>
      <c r="E21" s="4" t="s">
        <v>117</v>
      </c>
      <c r="F21" s="4" t="s">
        <v>9</v>
      </c>
      <c r="G21" s="3">
        <v>5</v>
      </c>
      <c r="H21" s="3" t="s">
        <v>19</v>
      </c>
      <c r="I21" s="4" t="s">
        <v>11</v>
      </c>
      <c r="J21" s="4" t="s">
        <v>118</v>
      </c>
      <c r="K21" s="3" t="s">
        <v>12</v>
      </c>
      <c r="L21" s="4" t="s">
        <v>10</v>
      </c>
      <c r="M21" s="9"/>
      <c r="N21" s="10"/>
      <c r="O21" s="11"/>
    </row>
    <row r="22" spans="2:15" x14ac:dyDescent="0.25">
      <c r="B22" s="3">
        <f t="shared" si="0"/>
        <v>19</v>
      </c>
      <c r="C22" s="3" t="s">
        <v>100</v>
      </c>
      <c r="D22" s="4" t="s">
        <v>101</v>
      </c>
      <c r="E22" s="4" t="s">
        <v>102</v>
      </c>
      <c r="F22" s="4" t="s">
        <v>9</v>
      </c>
      <c r="G22" s="3">
        <v>3</v>
      </c>
      <c r="H22" s="3" t="s">
        <v>19</v>
      </c>
      <c r="I22" s="6" t="s">
        <v>107</v>
      </c>
      <c r="J22" s="4" t="s">
        <v>110</v>
      </c>
      <c r="K22" s="3" t="s">
        <v>12</v>
      </c>
      <c r="L22" s="4" t="s">
        <v>10</v>
      </c>
      <c r="M22" s="9"/>
      <c r="N22" s="10"/>
      <c r="O22" s="11"/>
    </row>
    <row r="23" spans="2:15" x14ac:dyDescent="0.25">
      <c r="B23" s="3">
        <f t="shared" si="0"/>
        <v>20</v>
      </c>
      <c r="C23" s="3" t="s">
        <v>103</v>
      </c>
      <c r="D23" s="4" t="s">
        <v>104</v>
      </c>
      <c r="E23" s="4" t="s">
        <v>106</v>
      </c>
      <c r="F23" s="4" t="s">
        <v>105</v>
      </c>
      <c r="G23" s="3">
        <v>1</v>
      </c>
      <c r="H23" s="3" t="s">
        <v>19</v>
      </c>
      <c r="I23" s="6" t="s">
        <v>108</v>
      </c>
      <c r="J23" s="4" t="s">
        <v>109</v>
      </c>
      <c r="K23" s="3" t="s">
        <v>12</v>
      </c>
      <c r="L23" s="4" t="s">
        <v>10</v>
      </c>
      <c r="M23" s="9"/>
      <c r="N23" s="10"/>
      <c r="O23" s="11"/>
    </row>
    <row r="24" spans="2:15" x14ac:dyDescent="0.25">
      <c r="B24" s="3">
        <f t="shared" si="0"/>
        <v>21</v>
      </c>
      <c r="C24" s="3" t="s">
        <v>112</v>
      </c>
      <c r="D24" s="4" t="s">
        <v>113</v>
      </c>
      <c r="E24" s="4" t="s">
        <v>114</v>
      </c>
      <c r="F24" s="4" t="s">
        <v>9</v>
      </c>
      <c r="G24" s="3">
        <v>8</v>
      </c>
      <c r="H24" s="3" t="s">
        <v>19</v>
      </c>
      <c r="I24" s="4" t="s">
        <v>11</v>
      </c>
      <c r="J24" s="4" t="s">
        <v>115</v>
      </c>
      <c r="K24" s="3" t="s">
        <v>12</v>
      </c>
      <c r="L24" s="4" t="s">
        <v>10</v>
      </c>
      <c r="M24" s="9"/>
      <c r="N24" s="10"/>
      <c r="O24" s="11"/>
    </row>
    <row r="25" spans="2:15" x14ac:dyDescent="0.25">
      <c r="B25" s="3">
        <f t="shared" si="0"/>
        <v>22</v>
      </c>
      <c r="C25" s="3" t="s">
        <v>126</v>
      </c>
      <c r="D25" s="4" t="s">
        <v>127</v>
      </c>
      <c r="E25" s="4" t="s">
        <v>129</v>
      </c>
      <c r="F25" s="4" t="s">
        <v>128</v>
      </c>
      <c r="G25" s="3">
        <v>2</v>
      </c>
      <c r="H25" s="3" t="s">
        <v>19</v>
      </c>
      <c r="I25" s="6" t="s">
        <v>130</v>
      </c>
      <c r="J25" s="4" t="s">
        <v>131</v>
      </c>
      <c r="K25" s="3" t="s">
        <v>12</v>
      </c>
      <c r="L25" s="4" t="s">
        <v>10</v>
      </c>
      <c r="M25" s="9"/>
      <c r="N25" s="10"/>
      <c r="O25" s="11"/>
    </row>
    <row r="26" spans="2:15" x14ac:dyDescent="0.25">
      <c r="B26" s="3">
        <f t="shared" si="0"/>
        <v>23</v>
      </c>
      <c r="C26" s="3" t="s">
        <v>132</v>
      </c>
      <c r="D26" s="4" t="s">
        <v>133</v>
      </c>
      <c r="E26" s="4" t="s">
        <v>135</v>
      </c>
      <c r="F26" s="4" t="s">
        <v>134</v>
      </c>
      <c r="G26" s="3">
        <v>2</v>
      </c>
      <c r="H26" s="3" t="s">
        <v>19</v>
      </c>
      <c r="I26" s="6"/>
      <c r="J26" s="4" t="s">
        <v>136</v>
      </c>
      <c r="K26" s="3" t="s">
        <v>12</v>
      </c>
      <c r="L26" s="4" t="s">
        <v>10</v>
      </c>
      <c r="M26" s="9"/>
      <c r="N26" s="10"/>
      <c r="O26" s="11"/>
    </row>
    <row r="27" spans="2:15" x14ac:dyDescent="0.25">
      <c r="B27" s="3">
        <f t="shared" si="0"/>
        <v>24</v>
      </c>
      <c r="C27" s="3" t="s">
        <v>119</v>
      </c>
      <c r="D27" s="6" t="s">
        <v>120</v>
      </c>
      <c r="E27" s="14" t="s">
        <v>121</v>
      </c>
      <c r="F27" s="4" t="s">
        <v>122</v>
      </c>
      <c r="G27" s="3">
        <v>2</v>
      </c>
      <c r="H27" s="3" t="s">
        <v>19</v>
      </c>
      <c r="I27" s="4"/>
      <c r="J27" s="4" t="s">
        <v>123</v>
      </c>
      <c r="K27" s="3" t="s">
        <v>12</v>
      </c>
      <c r="L27" s="4" t="s">
        <v>10</v>
      </c>
      <c r="M27" s="9"/>
      <c r="N27" s="10"/>
      <c r="O27" s="11"/>
    </row>
    <row r="28" spans="2:15" x14ac:dyDescent="0.25">
      <c r="B28" s="3">
        <f t="shared" si="0"/>
        <v>25</v>
      </c>
      <c r="C28" s="3" t="s">
        <v>124</v>
      </c>
      <c r="D28" s="6" t="s">
        <v>139</v>
      </c>
      <c r="E28" s="4" t="s">
        <v>125</v>
      </c>
      <c r="F28" s="4" t="s">
        <v>140</v>
      </c>
      <c r="G28" s="3">
        <v>2</v>
      </c>
      <c r="H28" s="3" t="s">
        <v>19</v>
      </c>
      <c r="I28" s="4" t="s">
        <v>13</v>
      </c>
      <c r="J28" s="4" t="s">
        <v>141</v>
      </c>
      <c r="K28" s="3" t="s">
        <v>14</v>
      </c>
      <c r="L28" s="4" t="s">
        <v>10</v>
      </c>
      <c r="M28" s="9"/>
      <c r="N28" s="10"/>
      <c r="O28" s="11"/>
    </row>
    <row r="29" spans="2:15" x14ac:dyDescent="0.25">
      <c r="B29" s="3">
        <f t="shared" si="0"/>
        <v>26</v>
      </c>
      <c r="C29" s="3" t="s">
        <v>142</v>
      </c>
      <c r="D29" s="6" t="s">
        <v>139</v>
      </c>
      <c r="E29" s="6">
        <v>61300411121</v>
      </c>
      <c r="F29" s="4" t="s">
        <v>122</v>
      </c>
      <c r="G29" s="3">
        <v>6</v>
      </c>
      <c r="H29" s="3" t="s">
        <v>19</v>
      </c>
      <c r="I29" s="4" t="s">
        <v>13</v>
      </c>
      <c r="J29" s="4" t="s">
        <v>143</v>
      </c>
      <c r="K29" s="3" t="s">
        <v>14</v>
      </c>
      <c r="L29" s="4" t="s">
        <v>10</v>
      </c>
      <c r="M29" s="9"/>
      <c r="N29" s="10"/>
      <c r="O29" s="11"/>
    </row>
    <row r="30" spans="2:15" x14ac:dyDescent="0.25">
      <c r="B30" s="3">
        <f t="shared" si="0"/>
        <v>27</v>
      </c>
      <c r="C30" s="3" t="s">
        <v>201</v>
      </c>
      <c r="D30" s="6" t="s">
        <v>181</v>
      </c>
      <c r="E30" s="4" t="s">
        <v>148</v>
      </c>
      <c r="F30" s="4" t="s">
        <v>9</v>
      </c>
      <c r="G30" s="3">
        <v>5</v>
      </c>
      <c r="H30" s="3" t="s">
        <v>195</v>
      </c>
      <c r="I30" s="4" t="s">
        <v>11</v>
      </c>
      <c r="J30" s="4" t="s">
        <v>214</v>
      </c>
      <c r="K30" s="3" t="s">
        <v>12</v>
      </c>
      <c r="L30" s="4" t="s">
        <v>10</v>
      </c>
    </row>
    <row r="31" spans="2:15" x14ac:dyDescent="0.25">
      <c r="B31" s="3">
        <f t="shared" si="0"/>
        <v>28</v>
      </c>
      <c r="C31" s="3" t="s">
        <v>202</v>
      </c>
      <c r="D31" s="6" t="s">
        <v>182</v>
      </c>
      <c r="E31" s="5">
        <v>885012005010</v>
      </c>
      <c r="F31" s="4" t="s">
        <v>149</v>
      </c>
      <c r="G31" s="3">
        <v>8</v>
      </c>
      <c r="H31" s="3" t="s">
        <v>195</v>
      </c>
      <c r="I31" s="4" t="s">
        <v>198</v>
      </c>
      <c r="J31" s="4" t="s">
        <v>215</v>
      </c>
      <c r="K31" s="3" t="s">
        <v>12</v>
      </c>
      <c r="L31" s="4" t="s">
        <v>10</v>
      </c>
    </row>
    <row r="32" spans="2:15" x14ac:dyDescent="0.25">
      <c r="B32" s="3">
        <f t="shared" si="0"/>
        <v>29</v>
      </c>
      <c r="C32" s="3" t="s">
        <v>203</v>
      </c>
      <c r="D32" s="4" t="s">
        <v>183</v>
      </c>
      <c r="E32" s="5" t="s">
        <v>150</v>
      </c>
      <c r="F32" s="4" t="s">
        <v>9</v>
      </c>
      <c r="G32" s="3">
        <v>6</v>
      </c>
      <c r="H32" s="3" t="s">
        <v>195</v>
      </c>
      <c r="I32" s="4" t="s">
        <v>11</v>
      </c>
      <c r="J32" s="4" t="s">
        <v>216</v>
      </c>
      <c r="K32" s="3" t="s">
        <v>12</v>
      </c>
      <c r="L32" s="4" t="s">
        <v>10</v>
      </c>
    </row>
    <row r="33" spans="1:13" x14ac:dyDescent="0.25">
      <c r="B33" s="3">
        <f t="shared" si="0"/>
        <v>30</v>
      </c>
      <c r="C33" s="3" t="s">
        <v>204</v>
      </c>
      <c r="D33" s="4" t="s">
        <v>184</v>
      </c>
      <c r="E33" s="5" t="s">
        <v>151</v>
      </c>
      <c r="F33" s="4" t="s">
        <v>9</v>
      </c>
      <c r="G33" s="3">
        <v>7</v>
      </c>
      <c r="H33" s="3" t="s">
        <v>195</v>
      </c>
      <c r="I33" s="4" t="s">
        <v>11</v>
      </c>
      <c r="J33" s="4" t="s">
        <v>217</v>
      </c>
      <c r="K33" s="3" t="s">
        <v>12</v>
      </c>
      <c r="L33" s="4" t="s">
        <v>10</v>
      </c>
    </row>
    <row r="34" spans="1:13" x14ac:dyDescent="0.25">
      <c r="B34" s="3">
        <f t="shared" si="0"/>
        <v>31</v>
      </c>
      <c r="C34" s="3" t="s">
        <v>205</v>
      </c>
      <c r="D34" s="4" t="s">
        <v>185</v>
      </c>
      <c r="E34" s="5" t="s">
        <v>152</v>
      </c>
      <c r="F34" s="4" t="s">
        <v>9</v>
      </c>
      <c r="G34" s="3">
        <v>8</v>
      </c>
      <c r="H34" s="3" t="s">
        <v>195</v>
      </c>
      <c r="I34" s="4" t="s">
        <v>11</v>
      </c>
      <c r="J34" s="4" t="s">
        <v>218</v>
      </c>
      <c r="K34" s="3" t="s">
        <v>12</v>
      </c>
      <c r="L34" s="4" t="s">
        <v>10</v>
      </c>
    </row>
    <row r="35" spans="1:13" x14ac:dyDescent="0.25">
      <c r="B35" s="3">
        <f t="shared" si="0"/>
        <v>32</v>
      </c>
      <c r="C35" s="3" t="s">
        <v>206</v>
      </c>
      <c r="D35" s="4" t="s">
        <v>186</v>
      </c>
      <c r="E35" s="5" t="s">
        <v>153</v>
      </c>
      <c r="F35" s="4" t="s">
        <v>9</v>
      </c>
      <c r="G35" s="3">
        <v>9</v>
      </c>
      <c r="H35" s="3" t="s">
        <v>195</v>
      </c>
      <c r="I35" s="4" t="s">
        <v>11</v>
      </c>
      <c r="J35" s="4" t="s">
        <v>219</v>
      </c>
      <c r="K35" s="3" t="s">
        <v>12</v>
      </c>
      <c r="L35" s="4" t="s">
        <v>10</v>
      </c>
    </row>
    <row r="36" spans="1:13" x14ac:dyDescent="0.25">
      <c r="B36" s="3">
        <f t="shared" si="0"/>
        <v>33</v>
      </c>
      <c r="C36" s="3" t="s">
        <v>207</v>
      </c>
      <c r="D36" s="4" t="s">
        <v>200</v>
      </c>
      <c r="E36" s="5" t="s">
        <v>154</v>
      </c>
      <c r="F36" s="4" t="s">
        <v>9</v>
      </c>
      <c r="G36" s="3">
        <v>8</v>
      </c>
      <c r="H36" s="3" t="s">
        <v>195</v>
      </c>
      <c r="I36" s="4" t="s">
        <v>11</v>
      </c>
      <c r="J36" s="4" t="s">
        <v>220</v>
      </c>
      <c r="K36" s="3" t="s">
        <v>12</v>
      </c>
      <c r="L36" s="4" t="s">
        <v>10</v>
      </c>
    </row>
    <row r="37" spans="1:13" x14ac:dyDescent="0.25">
      <c r="B37" s="3">
        <f t="shared" si="0"/>
        <v>34</v>
      </c>
      <c r="C37" s="3" t="s">
        <v>208</v>
      </c>
      <c r="D37" s="4" t="s">
        <v>187</v>
      </c>
      <c r="E37" s="5" t="s">
        <v>155</v>
      </c>
      <c r="F37" s="4" t="s">
        <v>156</v>
      </c>
      <c r="G37" s="3">
        <v>5</v>
      </c>
      <c r="H37" s="3" t="s">
        <v>195</v>
      </c>
      <c r="I37" s="4" t="s">
        <v>11</v>
      </c>
      <c r="J37" s="4" t="s">
        <v>221</v>
      </c>
      <c r="K37" s="3" t="s">
        <v>12</v>
      </c>
      <c r="L37" s="4" t="s">
        <v>10</v>
      </c>
    </row>
    <row r="38" spans="1:13" x14ac:dyDescent="0.25">
      <c r="B38" s="3">
        <f t="shared" si="0"/>
        <v>35</v>
      </c>
      <c r="C38" s="3" t="s">
        <v>209</v>
      </c>
      <c r="D38" s="6" t="s">
        <v>188</v>
      </c>
      <c r="E38" s="5" t="s">
        <v>157</v>
      </c>
      <c r="F38" s="4" t="s">
        <v>158</v>
      </c>
      <c r="G38" s="3">
        <v>6</v>
      </c>
      <c r="H38" s="3" t="s">
        <v>195</v>
      </c>
      <c r="I38" s="4" t="s">
        <v>11</v>
      </c>
      <c r="J38" s="4" t="s">
        <v>222</v>
      </c>
      <c r="K38" s="3" t="s">
        <v>12</v>
      </c>
      <c r="L38" s="4" t="s">
        <v>10</v>
      </c>
    </row>
    <row r="39" spans="1:13" x14ac:dyDescent="0.25">
      <c r="B39" s="3">
        <f t="shared" si="0"/>
        <v>36</v>
      </c>
      <c r="C39" s="3" t="s">
        <v>210</v>
      </c>
      <c r="D39" s="6" t="s">
        <v>189</v>
      </c>
      <c r="E39" s="5" t="s">
        <v>159</v>
      </c>
      <c r="F39" s="4" t="s">
        <v>160</v>
      </c>
      <c r="G39" s="3">
        <v>1</v>
      </c>
      <c r="H39" s="3" t="s">
        <v>195</v>
      </c>
      <c r="I39" s="4"/>
      <c r="J39" s="4" t="s">
        <v>223</v>
      </c>
      <c r="K39" s="3" t="s">
        <v>12</v>
      </c>
      <c r="L39" s="4" t="s">
        <v>10</v>
      </c>
    </row>
    <row r="40" spans="1:13" x14ac:dyDescent="0.25">
      <c r="B40" s="3">
        <f t="shared" si="0"/>
        <v>37</v>
      </c>
      <c r="C40" s="3" t="s">
        <v>137</v>
      </c>
      <c r="D40" s="6" t="s">
        <v>190</v>
      </c>
      <c r="E40" s="5" t="s">
        <v>161</v>
      </c>
      <c r="F40" s="4" t="s">
        <v>162</v>
      </c>
      <c r="G40" s="3">
        <v>1</v>
      </c>
      <c r="H40" s="3" t="s">
        <v>195</v>
      </c>
      <c r="I40" s="4" t="s">
        <v>163</v>
      </c>
      <c r="J40" s="4" t="s">
        <v>224</v>
      </c>
      <c r="K40" s="3" t="s">
        <v>12</v>
      </c>
      <c r="L40" s="4" t="s">
        <v>10</v>
      </c>
    </row>
    <row r="41" spans="1:13" x14ac:dyDescent="0.25">
      <c r="B41" s="3">
        <f t="shared" si="0"/>
        <v>38</v>
      </c>
      <c r="C41" s="3" t="s">
        <v>211</v>
      </c>
      <c r="D41" s="6" t="s">
        <v>191</v>
      </c>
      <c r="E41" s="5" t="s">
        <v>164</v>
      </c>
      <c r="F41" s="4" t="s">
        <v>165</v>
      </c>
      <c r="G41" s="3">
        <v>4</v>
      </c>
      <c r="H41" s="3" t="s">
        <v>195</v>
      </c>
      <c r="I41" s="4" t="s">
        <v>166</v>
      </c>
      <c r="J41" s="4" t="s">
        <v>225</v>
      </c>
      <c r="K41" s="3" t="s">
        <v>12</v>
      </c>
      <c r="L41" s="4" t="s">
        <v>10</v>
      </c>
      <c r="M41" s="25"/>
    </row>
    <row r="42" spans="1:13" ht="33" customHeight="1" x14ac:dyDescent="0.25">
      <c r="A42" s="23"/>
      <c r="B42" s="20">
        <f t="shared" si="0"/>
        <v>39</v>
      </c>
      <c r="C42" s="21" t="s">
        <v>179</v>
      </c>
      <c r="D42" s="22" t="s">
        <v>192</v>
      </c>
      <c r="E42" s="24" t="s">
        <v>167</v>
      </c>
      <c r="F42" s="24" t="s">
        <v>168</v>
      </c>
      <c r="G42" s="21">
        <v>2</v>
      </c>
      <c r="H42" s="21" t="s">
        <v>195</v>
      </c>
      <c r="I42" s="21" t="s">
        <v>169</v>
      </c>
      <c r="J42" s="4" t="s">
        <v>226</v>
      </c>
      <c r="K42" s="21" t="s">
        <v>170</v>
      </c>
      <c r="L42" s="4" t="s">
        <v>10</v>
      </c>
    </row>
    <row r="43" spans="1:13" x14ac:dyDescent="0.25">
      <c r="B43" s="3">
        <f t="shared" si="0"/>
        <v>40</v>
      </c>
      <c r="C43" s="3" t="s">
        <v>180</v>
      </c>
      <c r="D43" s="6" t="s">
        <v>193</v>
      </c>
      <c r="E43" s="4" t="s">
        <v>171</v>
      </c>
      <c r="F43" s="4" t="s">
        <v>172</v>
      </c>
      <c r="G43" s="3">
        <v>1</v>
      </c>
      <c r="H43" s="3" t="s">
        <v>195</v>
      </c>
      <c r="I43" s="4"/>
      <c r="J43" s="4" t="s">
        <v>227</v>
      </c>
      <c r="K43" s="19" t="s">
        <v>14</v>
      </c>
      <c r="L43" s="4" t="s">
        <v>13</v>
      </c>
    </row>
    <row r="44" spans="1:13" x14ac:dyDescent="0.25">
      <c r="B44" s="3">
        <f t="shared" si="0"/>
        <v>41</v>
      </c>
      <c r="C44" s="3" t="s">
        <v>212</v>
      </c>
      <c r="D44" s="6" t="s">
        <v>194</v>
      </c>
      <c r="E44" s="4" t="s">
        <v>173</v>
      </c>
      <c r="F44" s="4" t="s">
        <v>174</v>
      </c>
      <c r="G44" s="3">
        <v>1</v>
      </c>
      <c r="H44" s="3" t="s">
        <v>195</v>
      </c>
      <c r="I44" s="4" t="s">
        <v>175</v>
      </c>
      <c r="J44" s="4" t="s">
        <v>228</v>
      </c>
      <c r="K44" s="3" t="s">
        <v>12</v>
      </c>
      <c r="L44" s="4" t="s">
        <v>10</v>
      </c>
    </row>
    <row r="45" spans="1:13" x14ac:dyDescent="0.25">
      <c r="B45" s="3">
        <f t="shared" si="0"/>
        <v>42</v>
      </c>
      <c r="C45" s="3" t="s">
        <v>213</v>
      </c>
      <c r="D45" s="6" t="s">
        <v>138</v>
      </c>
      <c r="E45" s="4" t="s">
        <v>176</v>
      </c>
      <c r="F45" s="4" t="s">
        <v>177</v>
      </c>
      <c r="G45" s="3">
        <v>8</v>
      </c>
      <c r="H45" s="3" t="s">
        <v>195</v>
      </c>
      <c r="I45" s="4" t="s">
        <v>178</v>
      </c>
      <c r="J45" s="4" t="s">
        <v>229</v>
      </c>
      <c r="K45" s="3" t="s">
        <v>12</v>
      </c>
      <c r="L45" s="4" t="s">
        <v>10</v>
      </c>
    </row>
  </sheetData>
  <mergeCells count="1">
    <mergeCell ref="B2:L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Delgado Figueroa</dc:creator>
  <cp:lastModifiedBy>Juan Carlos Delgado Figueroa</cp:lastModifiedBy>
  <dcterms:created xsi:type="dcterms:W3CDTF">2025-06-23T03:44:07Z</dcterms:created>
  <dcterms:modified xsi:type="dcterms:W3CDTF">2025-07-25T12:18:59Z</dcterms:modified>
</cp:coreProperties>
</file>